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Ad Channel Performance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Linked from 'Budget vs Actual' totals row. Underlying budget/actual figures are synthetic, modeled on typical mid-market SaaS/e-commerce marketing budgets for illustrative purposes.</t>
        </r>
      </text>
    </comment>
  </commentList>
</comments>
</file>

<file path=xl/sharedStrings.xml><?xml version="1.0" encoding="utf-8"?>
<sst xmlns="http://schemas.openxmlformats.org/spreadsheetml/2006/main" count="177" uniqueCount="68">
  <si>
    <t xml:space="preserve">Ad Spend &amp; Budget Performance Analytics</t>
  </si>
  <si>
    <t xml:space="preserve">Self-directed practice project | Satyanarayan Naldiga | Built to demonstrate FP&amp;A + marketing analytics skills</t>
  </si>
  <si>
    <t xml:space="preserve">Purpose</t>
  </si>
  <si>
    <t xml:space="preserve">Simulates the core deliverables of a Corporate FP&amp;A / Marketing Finance analyst role: monthly budget-to-actual variance tracking, cost-center forecasting, and advertising channel performance analysis (CPC, CTR, ROAS, CPA).</t>
  </si>
  <si>
    <t xml:space="preserve">Scope</t>
  </si>
  <si>
    <t xml:space="preserve">6-month period (Jan-Jun 2026) across 4 cost categories (Headcount, Media/Ad Spend, Programs, Tools &amp; Licensing) and 4 digital ad channels (Search, Social, Display, Video).</t>
  </si>
  <si>
    <t xml:space="preserve">Data source</t>
  </si>
  <si>
    <t xml:space="preserve">Figures are illustrative/synthetic, built to reflect realistic mid-market SaaS/e-commerce marketing budget and industry-average ad performance benchmarks (CTR, CVR ranges sourced from published 2025-2026 digital advertising benchmark reports). No real company or confidential data was used.</t>
  </si>
  <si>
    <t xml:space="preserve">Tools used</t>
  </si>
  <si>
    <t xml:space="preserve">Excel formulas (SUMIFS, INDEX/MATCH, IFERROR), conditional formatting for variance flags, and chart-based dashboarding.</t>
  </si>
  <si>
    <t xml:space="preserve">How to read it</t>
  </si>
  <si>
    <t xml:space="preserve">Blue text = hardcoded input/assumption. Black text = formula. Green text = link to another sheet. Yellow fill = key assumption cell.</t>
  </si>
  <si>
    <t xml:space="preserve">Sheets</t>
  </si>
  <si>
    <t xml:space="preserve">1) Overview   2) Budget vs Actual   3) Ad Channel Performance   4) Dashboard</t>
  </si>
  <si>
    <t xml:space="preserve">Monthly Budget vs. Actual — Variance Analysis</t>
  </si>
  <si>
    <t xml:space="preserve">All figures in USD ($000s) | Flag threshold: ±10% variance</t>
  </si>
  <si>
    <t xml:space="preserve">Cost Category</t>
  </si>
  <si>
    <t xml:space="preserve">Month</t>
  </si>
  <si>
    <t xml:space="preserve">Budget ($000s)</t>
  </si>
  <si>
    <t xml:space="preserve">Actual ($000s)</t>
  </si>
  <si>
    <t xml:space="preserve">Variance ($000s)</t>
  </si>
  <si>
    <t xml:space="preserve">Variance %</t>
  </si>
  <si>
    <t xml:space="preserve">Flag</t>
  </si>
  <si>
    <t xml:space="preserve">Headcount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</si>
  <si>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</si>
  <si>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</si>
  <si>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</si>
  <si>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</si>
  <si>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</si>
  <si>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</si>
  <si>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Media / Ad Spend</t>
  </si>
  <si>
    <t xml:space="preserve">Programs</t>
  </si>
  <si>
    <t xml:space="preserve">Tools &amp; Licensing</t>
  </si>
  <si>
    <t xml:space="preserve">TOTAL</t>
  </si>
  <si>
    <t xml:space="preserve">All Months</t>
  </si>
  <si>
    <t xml:space="preserve">Summary by Category</t>
  </si>
  <si>
    <t xml:space="preserve">Total Budget</t>
  </si>
  <si>
    <t xml:space="preserve">Total Actual</t>
  </si>
  <si>
    <t xml:space="preserve">Variance $</t>
  </si>
  <si>
    <t xml:space="preserve">Digital Ad Channel Performance — Efficiency Metrics</t>
  </si>
  <si>
    <t xml:space="preserve">Spend/Revenue in USD ($000s) | CTR/CVR benchmarks based on 2025-2026 industry averages</t>
  </si>
  <si>
    <t xml:space="preserve">Channel</t>
  </si>
  <si>
    <t xml:space="preserve">Spend ($000s)</t>
  </si>
  <si>
    <t xml:space="preserve">Impressions (000s)</t>
  </si>
  <si>
    <t xml:space="preserve">Clicks (000s)</t>
  </si>
  <si>
    <t xml:space="preserve">Conversions</t>
  </si>
  <si>
    <t xml:space="preserve">Revenue ($000s)</t>
  </si>
  <si>
    <t xml:space="preserve">CTR</t>
  </si>
  <si>
    <t xml:space="preserve">CPC ($)</t>
  </si>
  <si>
    <t xml:space="preserve">CVR</t>
  </si>
  <si>
    <t xml:space="preserve">ROAS</t>
  </si>
  <si>
    <t xml:space="preserve">Search</t>
  </si>
  <si>
    <t xml:space="preserve">Social</t>
  </si>
  <si>
    <t xml:space="preserve">Display</t>
  </si>
  <si>
    <t xml:space="preserve">Video</t>
  </si>
  <si>
    <t xml:space="preserve">Summary by Channel (6-Month Total / Avg)</t>
  </si>
  <si>
    <t xml:space="preserve">Total Spend</t>
  </si>
  <si>
    <t xml:space="preserve">Total Revenue</t>
  </si>
  <si>
    <t xml:space="preserve">Blended ROAS</t>
  </si>
  <si>
    <t xml:space="preserve">Avg CTR</t>
  </si>
  <si>
    <t xml:space="preserve">Avg CPC</t>
  </si>
  <si>
    <t xml:space="preserve">Executive Dashboard — Budget &amp; Ad Performance Summary</t>
  </si>
  <si>
    <t xml:space="preserve">Jan-Jun 2026 | Auto-linked to Budget vs Actual and Ad Channel Performance tabs</t>
  </si>
  <si>
    <t xml:space="preserve">KEY METRICS</t>
  </si>
  <si>
    <t xml:space="preserve">Total Variance</t>
  </si>
  <si>
    <t xml:space="preserve">Total Ad Spend</t>
  </si>
  <si>
    <t xml:space="preserve">Total Ad Revenue</t>
  </si>
  <si>
    <t xml:space="preserve">Monthly Ad Spend by Channel ($000s) — helper table for chart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</si>
</sst>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%"/>
    <numFmt numFmtId="167" formatCode="\$#,##0"/>
    <numFmt numFmtId="168" formatCode="#,##0"/>
    <numFmt numFmtId="169" formatCode="0.00%"/>
    <numFmt numFmtId="170" formatCode="\$0.00"/>
    <numFmt numFmtId="171" formatCode="0.0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1F3864"/>
      <rgbColor rgb="FF4F81BD"/>
      <rgbColor rgb="FF003300"/>
      <rgbColor rgb="FF333300"/>
      <rgbColor rgb="FF993300"/>
      <rgbColor rgb="FFC0504D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vs. Actual by Cost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'Budget vs Actual'!B33</c:f>
              <c:strCache>
                <c:ptCount val="1"/>
                <c:pt idx="0">
                  <c:v>Total Budget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Actual'!$A$34:$A$37</c:f>
              <c:strCache>
                <c:ptCount val="4"/>
                <c:pt idx="0">
                  <c:v>Headcount</c:v>
                </c:pt>
                <c:pt idx="1">
                  <c:v>Media / Ad Spend</c:v>
                </c:pt>
                <c:pt idx="2">
                  <c:v>Programs</c:v>
                </c:pt>
                <c:pt idx="3">
                  <c:v>Tools &amp; Licensing</c:v>
                </c:pt>
              </c:strCache>
            </c:strRef>
          </c:cat>
          <c:val>
            <c:numRef>
              <c:f>'Budget vs Actual'!$B$34:$B$37</c:f>
              <c:numCache>
                <c:formatCode>\$#,##0;"($"#,##0\);\-</c:formatCode>
                <c:ptCount val="4"/>
                <c:pt idx="0">
                  <c:v>2645</c:v>
                </c:pt>
                <c:pt idx="1">
                  <c:v>1960</c:v>
                </c:pt>
                <c:pt idx="2">
                  <c:v>390</c:v>
                </c:pt>
                <c:pt idx="3">
                  <c:v>164</c:v>
                </c:pt>
              </c:numCache>
            </c:numRef>
          </c:val>
        </c:ser>
        <c:ser>
          <c:idx val="1"/>
          <c:order val="1"/>
          <c:tx>
            <c:strRef>
              <c:f>'Budget vs Actual'!C33</c:f>
              <c:strCache>
                <c:ptCount val="1"/>
                <c:pt idx="0">
                  <c:v>Total Actual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Actual'!$A$34:$A$37</c:f>
              <c:strCache>
                <c:ptCount val="4"/>
                <c:pt idx="0">
                  <c:v>Headcount</c:v>
                </c:pt>
                <c:pt idx="1">
                  <c:v>Media / Ad Spend</c:v>
                </c:pt>
                <c:pt idx="2">
                  <c:v>Programs</c:v>
                </c:pt>
                <c:pt idx="3">
                  <c:v>Tools &amp; Licensing</c:v>
                </c:pt>
              </c:strCache>
            </c:strRef>
          </c:cat>
          <c:val>
            <c:numRef>
              <c:f>'Budget vs Actual'!$C$34:$C$37</c:f>
              <c:numCache>
                <c:formatCode>\$#,##0;"($"#,##0\);\-</c:formatCode>
                <c:ptCount val="4"/>
                <c:pt idx="0">
                  <c:v>2687</c:v>
                </c:pt>
                <c:pt idx="1">
                  <c:v>2044</c:v>
                </c:pt>
                <c:pt idx="2">
                  <c:v>419</c:v>
                </c:pt>
                <c:pt idx="3">
                  <c:v>164</c:v>
                </c:pt>
              </c:numCache>
            </c:numRef>
          </c:val>
        </c:ser>
        <c:gapWidth val="150"/>
        <c:overlap val="0"/>
        <c:axId val="95883562"/>
        <c:axId val="10172608"/>
      </c:barChart>
      <c:catAx>
        <c:axId val="958835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72608"/>
        <c:crosses val="autoZero"/>
        <c:auto val="1"/>
        <c:lblAlgn val="ctr"/>
        <c:lblOffset val="100"/>
        <c:noMultiLvlLbl val="0"/>
      </c:catAx>
      <c:valAx>
        <c:axId val="101726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($000s)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835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Blended ROAS by Ad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'Ad Channel Performance'!D32</c:f>
              <c:strCache>
                <c:ptCount val="1"/>
                <c:pt idx="0">
                  <c:v>Blended ROAS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'Ad Channel Performance'!$A$33:$A$36</c:f>
              <c:strCache>
                <c:ptCount val="4"/>
                <c:pt idx="0">
                  <c:v>Search</c:v>
                </c:pt>
                <c:pt idx="1">
                  <c:v>Social</c:v>
                </c:pt>
                <c:pt idx="2">
                  <c:v>Display</c:v>
                </c:pt>
                <c:pt idx="3">
                  <c:v>Video</c:v>
                </c:pt>
              </c:strCache>
            </c:strRef>
          </c:cat>
          <c:val>
            <c:numRef>
              <c:f>'Ad Channel Performance'!$D$33:$D$36</c:f>
              <c:numCache>
                <c:formatCode>0.00\x</c:formatCode>
                <c:ptCount val="4"/>
                <c:pt idx="0">
                  <c:v>3.44871794871795</c:v>
                </c:pt>
                <c:pt idx="1">
                  <c:v>2.90893760539629</c:v>
                </c:pt>
                <c:pt idx="2">
                  <c:v>1.71264367816092</c:v>
                </c:pt>
                <c:pt idx="3">
                  <c:v>1.79638009049774</c:v>
                </c:pt>
              </c:numCache>
            </c:numRef>
          </c:val>
        </c:ser>
        <c:gapWidth val="150"/>
        <c:overlap val="0"/>
        <c:axId val="13858133"/>
        <c:axId val="57613539"/>
      </c:barChart>
      <c:catAx>
        <c:axId val="138581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Channel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13539"/>
        <c:crosses val="autoZero"/>
        <c:auto val="1"/>
        <c:lblAlgn val="ctr"/>
        <c:lblOffset val="100"/>
        <c:noMultiLvlLbl val="0"/>
      </c:catAx>
      <c:valAx>
        <c:axId val="576135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ROAS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581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Ad Spend Trend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Dashboard!B15</c:f>
              <c:strCache>
                <c:ptCount val="1"/>
                <c:pt idx="0">
                  <c:v>Search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Dashboard!$A$16:$A$21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Dashboard!$B$16:$B$21</c:f>
              <c:numCache>
                <c:formatCode>\$#,##0</c:formatCode>
                <c:ptCount val="6"/>
                <c:pt idx="0">
                  <c:v>120</c:v>
                </c:pt>
                <c:pt idx="1">
                  <c:v>110</c:v>
                </c:pt>
                <c:pt idx="2">
                  <c:v>135</c:v>
                </c:pt>
                <c:pt idx="3">
                  <c:v>130</c:v>
                </c:pt>
                <c:pt idx="4">
                  <c:v>145</c:v>
                </c:pt>
                <c:pt idx="5">
                  <c:v>140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Dashboard!C15</c:f>
              <c:strCache>
                <c:ptCount val="1"/>
                <c:pt idx="0">
                  <c:v>Social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Dashboard!$A$16:$A$21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Dashboard!$C$16:$C$21</c:f>
              <c:numCache>
                <c:formatCode>\$#,##0</c:formatCode>
                <c:ptCount val="6"/>
                <c:pt idx="0">
                  <c:v>90</c:v>
                </c:pt>
                <c:pt idx="1">
                  <c:v>85</c:v>
                </c:pt>
                <c:pt idx="2">
                  <c:v>100</c:v>
                </c:pt>
                <c:pt idx="3">
                  <c:v>98</c:v>
                </c:pt>
                <c:pt idx="4">
                  <c:v>112</c:v>
                </c:pt>
                <c:pt idx="5">
                  <c:v>108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Dashboard!D15</c:f>
              <c:strCache>
                <c:ptCount val="1"/>
                <c:pt idx="0">
                  <c:v>Display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Dashboard!$A$16:$A$21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Dashboard!$D$16:$D$21</c:f>
              <c:numCache>
                <c:formatCode>\$#,##0</c:formatCode>
                <c:ptCount val="6"/>
                <c:pt idx="0">
                  <c:v>55</c:v>
                </c:pt>
                <c:pt idx="1">
                  <c:v>52</c:v>
                </c:pt>
                <c:pt idx="2">
                  <c:v>60</c:v>
                </c:pt>
                <c:pt idx="3">
                  <c:v>58</c:v>
                </c:pt>
                <c:pt idx="4">
                  <c:v>63</c:v>
                </c:pt>
                <c:pt idx="5">
                  <c:v>60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Dashboard!E15</c:f>
              <c:strCache>
                <c:ptCount val="1"/>
                <c:pt idx="0">
                  <c:v>Video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Dashboard!$A$16:$A$21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Dashboard!$E$16:$E$21</c:f>
              <c:numCache>
                <c:formatCode>\$#,##0</c:formatCode>
                <c:ptCount val="6"/>
                <c:pt idx="0">
                  <c:v>35</c:v>
                </c:pt>
                <c:pt idx="1">
                  <c:v>32</c:v>
                </c:pt>
                <c:pt idx="2">
                  <c:v>38</c:v>
                </c:pt>
                <c:pt idx="3">
                  <c:v>36</c:v>
                </c:pt>
                <c:pt idx="4">
                  <c:v>41</c:v>
                </c:pt>
                <c:pt idx="5">
                  <c:v>39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551727"/>
        <c:axId val="48489857"/>
      </c:lineChart>
      <c:catAx>
        <c:axId val="495517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489857"/>
        <c:crosses val="autoZero"/>
        <c:auto val="1"/>
        <c:lblAlgn val="ctr"/>
        <c:lblOffset val="100"/>
        <c:noMultiLvlLbl val="0"/>
      </c:catAx>
      <c:valAx>
        <c:axId val="484898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Spend ($000s)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517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0</xdr:rowOff>
    </xdr:from>
    <xdr:to>
      <xdr:col>8</xdr:col>
      <xdr:colOff>120960</xdr:colOff>
      <xdr:row>20</xdr:row>
      <xdr:rowOff>1080</xdr:rowOff>
    </xdr:to>
    <xdr:graphicFrame>
      <xdr:nvGraphicFramePr>
        <xdr:cNvPr id="0" name="Chart 1"/>
        <xdr:cNvGraphicFramePr/>
      </xdr:nvGraphicFramePr>
      <xdr:xfrm>
        <a:off x="3806280" y="666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21</xdr:row>
      <xdr:rowOff>0</xdr:rowOff>
    </xdr:from>
    <xdr:to>
      <xdr:col>8</xdr:col>
      <xdr:colOff>120960</xdr:colOff>
      <xdr:row>38</xdr:row>
      <xdr:rowOff>1080</xdr:rowOff>
    </xdr:to>
    <xdr:graphicFrame>
      <xdr:nvGraphicFramePr>
        <xdr:cNvPr id="1" name="Chart 2"/>
        <xdr:cNvGraphicFramePr/>
      </xdr:nvGraphicFramePr>
      <xdr:xfrm>
        <a:off x="3806280" y="4095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39</xdr:row>
      <xdr:rowOff>0</xdr:rowOff>
    </xdr:from>
    <xdr:to>
      <xdr:col>8</xdr:col>
      <xdr:colOff>120960</xdr:colOff>
      <xdr:row>56</xdr:row>
      <xdr:rowOff>1080</xdr:rowOff>
    </xdr:to>
    <xdr:graphicFrame>
      <xdr:nvGraphicFramePr>
        <xdr:cNvPr id="2" name="Chart 3"/>
        <xdr:cNvGraphicFramePr/>
      </xdr:nvGraphicFramePr>
      <xdr:xfrm>
        <a:off x="3806280" y="7524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21.75" hidden="false" customHeight="true" outlineLevel="0" collapsed="false">
      <c r="A1" s="1" t="s">
        <v>0</v>
      </c>
      <c r="B1" s="1"/>
    </row>
    <row r="2" customFormat="false" ht="15.75" hidden="false" customHeight="true" outlineLevel="0" collapsed="false">
      <c r="A2" s="2" t="s">
        <v>1</v>
      </c>
      <c r="B2" s="2"/>
    </row>
    <row r="4" customFormat="false" ht="42" hidden="false" customHeight="true" outlineLevel="0" collapsed="false">
      <c r="A4" s="3" t="s">
        <v>2</v>
      </c>
      <c r="B4" s="4" t="s">
        <v>3</v>
      </c>
    </row>
    <row r="6" customFormat="false" ht="42" hidden="false" customHeight="true" outlineLevel="0" collapsed="false">
      <c r="A6" s="3" t="s">
        <v>4</v>
      </c>
      <c r="B6" s="4" t="s">
        <v>5</v>
      </c>
    </row>
    <row r="8" customFormat="false" ht="42" hidden="false" customHeight="true" outlineLevel="0" collapsed="false">
      <c r="A8" s="3" t="s">
        <v>6</v>
      </c>
      <c r="B8" s="4" t="s">
        <v>7</v>
      </c>
    </row>
    <row r="10" customFormat="false" ht="42" hidden="false" customHeight="true" outlineLevel="0" collapsed="false">
      <c r="A10" s="3" t="s">
        <v>8</v>
      </c>
      <c r="B10" s="4" t="s">
        <v>9</v>
      </c>
    </row>
    <row r="12" customFormat="false" ht="42" hidden="false" customHeight="true" outlineLevel="0" collapsed="false">
      <c r="A12" s="3" t="s">
        <v>10</v>
      </c>
      <c r="B12" s="4" t="s">
        <v>11</v>
      </c>
    </row>
    <row r="14" customFormat="false" ht="42" hidden="false" customHeight="true" outlineLevel="0" collapsed="false">
      <c r="A14" s="3" t="s">
        <v>12</v>
      </c>
      <c r="B14" s="4" t="s">
        <v>13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6" min="5" style="0" width="12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1" t="s">
        <v>14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15</v>
      </c>
      <c r="B2" s="2"/>
      <c r="C2" s="2"/>
      <c r="D2" s="2"/>
      <c r="E2" s="2"/>
      <c r="F2" s="2"/>
      <c r="G2" s="2"/>
    </row>
    <row r="4" customFormat="false" ht="23.85" hidden="false" customHeight="fals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</row>
    <row r="5" customFormat="false" ht="15" hidden="false" customHeight="false" outlineLevel="0" collapsed="false">
      <c r="A5" s="6" t="s">
        <v>23</v>
      </c>
      <c r="B5" s="6" t="s">
        <v>24</v>
      </c>
      <c r="C5" s="7" t="n">
        <v>420</v>
      </c>
      <c r="D5" s="7" t="n">
        <v>431</v>
      </c>
      <c r="E5" s="8" t="n">
        <f aca="false">D5-C5</f>
        <v>11</v>
      </c>
      <c r="F5" s="9" t="n">
        <f aca="false">IFERROR(E5/C5,0)</f>
        <v>0.0261904761904762</v>
      </c>
      <c r="G5" s="10" t="str">
        <f aca="false">IF(ABS(F5)&gt;=0.1,"REVIEW","OK")</f>
        <v>OK</v>
      </c>
    </row>
    <row r="6" customFormat="false" ht="15" hidden="false" customHeight="false" outlineLevel="0" collapsed="false">
      <c r="A6" s="6" t="s">
        <v>23</v>
      </c>
      <c r="B6" s="6" t="s">
        <v>25</v>
      </c>
      <c r="C6" s="7" t="n">
        <v>420</v>
      </c>
      <c r="D6" s="7" t="n">
        <v>415</v>
      </c>
      <c r="E6" s="8" t="n">
        <f aca="false">D6-C6</f>
        <v>-5</v>
      </c>
      <c r="F6" s="9" t="n">
        <f aca="false">IFERROR(E6/C6,0)</f>
        <v>-0.0119047619047619</v>
      </c>
      <c r="G6" s="10" t="str">
        <f aca="false">IF(ABS(F6)&gt;=0.1,"REVIEW","OK")</f>
        <v>OK</v>
      </c>
    </row>
    <row r="7" customFormat="false" ht="15" hidden="false" customHeight="false" outlineLevel="0" collapsed="false">
      <c r="A7" s="6" t="s">
        <v>23</v>
      </c>
      <c r="B7" s="6" t="s">
        <v>26</v>
      </c>
      <c r="C7" s="7" t="n">
        <v>445</v>
      </c>
      <c r="D7" s="7" t="n">
        <v>460</v>
      </c>
      <c r="E7" s="8" t="n">
        <f aca="false">D7-C7</f>
        <v>15</v>
      </c>
      <c r="F7" s="9" t="n">
        <f aca="false">IFERROR(E7/C7,0)</f>
        <v>0.0337078651685393</v>
      </c>
      <c r="G7" s="10" t="str">
        <f aca="false">IF(ABS(F7)&gt;=0.1,"REVIEW","OK")</f>
        <v>OK</v>
      </c>
    </row>
    <row r="8" customFormat="false" ht="15" hidden="false" customHeight="false" outlineLevel="0" collapsed="false">
      <c r="A8" s="6" t="s">
        <v>23</v>
      </c>
      <c r="B8" s="6" t="s">
        <v>27</v>
      </c>
      <c r="C8" s="7" t="n">
        <v>445</v>
      </c>
      <c r="D8" s="7" t="n">
        <v>447</v>
      </c>
      <c r="E8" s="8" t="n">
        <f aca="false">D8-C8</f>
        <v>2</v>
      </c>
      <c r="F8" s="9" t="n">
        <f aca="false">IFERROR(E8/C8,0)</f>
        <v>0.00449438202247191</v>
      </c>
      <c r="G8" s="10" t="str">
        <f aca="false">IF(ABS(F8)&gt;=0.1,"REVIEW","OK")</f>
        <v>OK</v>
      </c>
    </row>
    <row r="9" customFormat="false" ht="15" hidden="false" customHeight="false" outlineLevel="0" collapsed="false">
      <c r="A9" s="6" t="s">
        <v>23</v>
      </c>
      <c r="B9" s="6" t="s">
        <v>28</v>
      </c>
      <c r="C9" s="7" t="n">
        <v>445</v>
      </c>
      <c r="D9" s="7" t="n">
        <v>468</v>
      </c>
      <c r="E9" s="8" t="n">
        <f aca="false">D9-C9</f>
        <v>23</v>
      </c>
      <c r="F9" s="9" t="n">
        <f aca="false">IFERROR(E9/C9,0)</f>
        <v>0.051685393258427</v>
      </c>
      <c r="G9" s="10" t="str">
        <f aca="false">IF(ABS(F9)&gt;=0.1,"REVIEW","OK")</f>
        <v>OK</v>
      </c>
    </row>
    <row r="10" customFormat="false" ht="15" hidden="false" customHeight="false" outlineLevel="0" collapsed="false">
      <c r="A10" s="6" t="s">
        <v>23</v>
      </c>
      <c r="B10" s="6" t="s">
        <v>29</v>
      </c>
      <c r="C10" s="7" t="n">
        <v>470</v>
      </c>
      <c r="D10" s="7" t="n">
        <v>466</v>
      </c>
      <c r="E10" s="8" t="n">
        <f aca="false">D10-C10</f>
        <v>-4</v>
      </c>
      <c r="F10" s="9" t="n">
        <f aca="false">IFERROR(E10/C10,0)</f>
        <v>-0.00851063829787234</v>
      </c>
      <c r="G10" s="10" t="str">
        <f aca="false">IF(ABS(F10)&gt;=0.1,"REVIEW","OK")</f>
        <v>OK</v>
      </c>
    </row>
    <row r="11" customFormat="false" ht="15" hidden="false" customHeight="false" outlineLevel="0" collapsed="false">
      <c r="A11" s="6" t="s">
        <v>30</v>
      </c>
      <c r="B11" s="6" t="s">
        <v>24</v>
      </c>
      <c r="C11" s="7" t="n">
        <v>300</v>
      </c>
      <c r="D11" s="7" t="n">
        <v>322</v>
      </c>
      <c r="E11" s="8" t="n">
        <f aca="false">D11-C11</f>
        <v>22</v>
      </c>
      <c r="F11" s="9" t="n">
        <f aca="false">IFERROR(E11/C11,0)</f>
        <v>0.0733333333333333</v>
      </c>
      <c r="G11" s="10" t="str">
        <f aca="false">IF(ABS(F11)&gt;=0.1,"REVIEW","OK")</f>
        <v>OK</v>
      </c>
    </row>
    <row r="12" customFormat="false" ht="15" hidden="false" customHeight="false" outlineLevel="0" collapsed="false">
      <c r="A12" s="6" t="s">
        <v>30</v>
      </c>
      <c r="B12" s="6" t="s">
        <v>25</v>
      </c>
      <c r="C12" s="7" t="n">
        <v>300</v>
      </c>
      <c r="D12" s="7" t="n">
        <v>289</v>
      </c>
      <c r="E12" s="8" t="n">
        <f aca="false">D12-C12</f>
        <v>-11</v>
      </c>
      <c r="F12" s="9" t="n">
        <f aca="false">IFERROR(E12/C12,0)</f>
        <v>-0.0366666666666667</v>
      </c>
      <c r="G12" s="10" t="str">
        <f aca="false">IF(ABS(F12)&gt;=0.1,"REVIEW","OK")</f>
        <v>OK</v>
      </c>
    </row>
    <row r="13" customFormat="false" ht="15" hidden="false" customHeight="false" outlineLevel="0" collapsed="false">
      <c r="A13" s="6" t="s">
        <v>30</v>
      </c>
      <c r="B13" s="6" t="s">
        <v>26</v>
      </c>
      <c r="C13" s="7" t="n">
        <v>330</v>
      </c>
      <c r="D13" s="7" t="n">
        <v>355</v>
      </c>
      <c r="E13" s="8" t="n">
        <f aca="false">D13-C13</f>
        <v>25</v>
      </c>
      <c r="F13" s="9" t="n">
        <f aca="false">IFERROR(E13/C13,0)</f>
        <v>0.0757575757575758</v>
      </c>
      <c r="G13" s="10" t="str">
        <f aca="false">IF(ABS(F13)&gt;=0.1,"REVIEW","OK")</f>
        <v>OK</v>
      </c>
    </row>
    <row r="14" customFormat="false" ht="15" hidden="false" customHeight="false" outlineLevel="0" collapsed="false">
      <c r="A14" s="6" t="s">
        <v>30</v>
      </c>
      <c r="B14" s="6" t="s">
        <v>27</v>
      </c>
      <c r="C14" s="7" t="n">
        <v>330</v>
      </c>
      <c r="D14" s="7" t="n">
        <v>341</v>
      </c>
      <c r="E14" s="8" t="n">
        <f aca="false">D14-C14</f>
        <v>11</v>
      </c>
      <c r="F14" s="9" t="n">
        <f aca="false">IFERROR(E14/C14,0)</f>
        <v>0.0333333333333333</v>
      </c>
      <c r="G14" s="10" t="str">
        <f aca="false">IF(ABS(F14)&gt;=0.1,"REVIEW","OK")</f>
        <v>OK</v>
      </c>
    </row>
    <row r="15" customFormat="false" ht="15" hidden="false" customHeight="false" outlineLevel="0" collapsed="false">
      <c r="A15" s="6" t="s">
        <v>30</v>
      </c>
      <c r="B15" s="6" t="s">
        <v>28</v>
      </c>
      <c r="C15" s="7" t="n">
        <v>350</v>
      </c>
      <c r="D15" s="7" t="n">
        <v>388</v>
      </c>
      <c r="E15" s="8" t="n">
        <f aca="false">D15-C15</f>
        <v>38</v>
      </c>
      <c r="F15" s="9" t="n">
        <f aca="false">IFERROR(E15/C15,0)</f>
        <v>0.108571428571429</v>
      </c>
      <c r="G15" s="10" t="str">
        <f aca="false">IF(ABS(F15)&gt;=0.1,"REVIEW","OK")</f>
        <v>REVIEW</v>
      </c>
    </row>
    <row r="16" customFormat="false" ht="15" hidden="false" customHeight="false" outlineLevel="0" collapsed="false">
      <c r="A16" s="6" t="s">
        <v>30</v>
      </c>
      <c r="B16" s="6" t="s">
        <v>29</v>
      </c>
      <c r="C16" s="7" t="n">
        <v>350</v>
      </c>
      <c r="D16" s="7" t="n">
        <v>349</v>
      </c>
      <c r="E16" s="8" t="n">
        <f aca="false">D16-C16</f>
        <v>-1</v>
      </c>
      <c r="F16" s="9" t="n">
        <f aca="false">IFERROR(E16/C16,0)</f>
        <v>-0.00285714285714286</v>
      </c>
      <c r="G16" s="10" t="str">
        <f aca="false">IF(ABS(F16)&gt;=0.1,"REVIEW","OK")</f>
        <v>OK</v>
      </c>
    </row>
    <row r="17" customFormat="false" ht="15" hidden="false" customHeight="false" outlineLevel="0" collapsed="false">
      <c r="A17" s="6" t="s">
        <v>31</v>
      </c>
      <c r="B17" s="6" t="s">
        <v>24</v>
      </c>
      <c r="C17" s="7" t="n">
        <v>60</v>
      </c>
      <c r="D17" s="7" t="n">
        <v>58</v>
      </c>
      <c r="E17" s="8" t="n">
        <f aca="false">D17-C17</f>
        <v>-2</v>
      </c>
      <c r="F17" s="9" t="n">
        <f aca="false">IFERROR(E17/C17,0)</f>
        <v>-0.0333333333333333</v>
      </c>
      <c r="G17" s="10" t="str">
        <f aca="false">IF(ABS(F17)&gt;=0.1,"REVIEW","OK")</f>
        <v>OK</v>
      </c>
    </row>
    <row r="18" customFormat="false" ht="15" hidden="false" customHeight="false" outlineLevel="0" collapsed="false">
      <c r="A18" s="6" t="s">
        <v>31</v>
      </c>
      <c r="B18" s="6" t="s">
        <v>25</v>
      </c>
      <c r="C18" s="7" t="n">
        <v>60</v>
      </c>
      <c r="D18" s="7" t="n">
        <v>71</v>
      </c>
      <c r="E18" s="8" t="n">
        <f aca="false">D18-C18</f>
        <v>11</v>
      </c>
      <c r="F18" s="9" t="n">
        <f aca="false">IFERROR(E18/C18,0)</f>
        <v>0.183333333333333</v>
      </c>
      <c r="G18" s="10" t="str">
        <f aca="false">IF(ABS(F18)&gt;=0.1,"REVIEW","OK")</f>
        <v>REVIEW</v>
      </c>
    </row>
    <row r="19" customFormat="false" ht="15" hidden="false" customHeight="false" outlineLevel="0" collapsed="false">
      <c r="A19" s="6" t="s">
        <v>31</v>
      </c>
      <c r="B19" s="6" t="s">
        <v>26</v>
      </c>
      <c r="C19" s="7" t="n">
        <v>65</v>
      </c>
      <c r="D19" s="7" t="n">
        <v>63</v>
      </c>
      <c r="E19" s="8" t="n">
        <f aca="false">D19-C19</f>
        <v>-2</v>
      </c>
      <c r="F19" s="9" t="n">
        <f aca="false">IFERROR(E19/C19,0)</f>
        <v>-0.0307692307692308</v>
      </c>
      <c r="G19" s="10" t="str">
        <f aca="false">IF(ABS(F19)&gt;=0.1,"REVIEW","OK")</f>
        <v>OK</v>
      </c>
    </row>
    <row r="20" customFormat="false" ht="15" hidden="false" customHeight="false" outlineLevel="0" collapsed="false">
      <c r="A20" s="6" t="s">
        <v>31</v>
      </c>
      <c r="B20" s="6" t="s">
        <v>27</v>
      </c>
      <c r="C20" s="7" t="n">
        <v>65</v>
      </c>
      <c r="D20" s="7" t="n">
        <v>66</v>
      </c>
      <c r="E20" s="8" t="n">
        <f aca="false">D20-C20</f>
        <v>1</v>
      </c>
      <c r="F20" s="9" t="n">
        <f aca="false">IFERROR(E20/C20,0)</f>
        <v>0.0153846153846154</v>
      </c>
      <c r="G20" s="10" t="str">
        <f aca="false">IF(ABS(F20)&gt;=0.1,"REVIEW","OK")</f>
        <v>OK</v>
      </c>
    </row>
    <row r="21" customFormat="false" ht="15" hidden="false" customHeight="false" outlineLevel="0" collapsed="false">
      <c r="A21" s="6" t="s">
        <v>31</v>
      </c>
      <c r="B21" s="6" t="s">
        <v>28</v>
      </c>
      <c r="C21" s="7" t="n">
        <v>70</v>
      </c>
      <c r="D21" s="7" t="n">
        <v>92</v>
      </c>
      <c r="E21" s="8" t="n">
        <f aca="false">D21-C21</f>
        <v>22</v>
      </c>
      <c r="F21" s="9" t="n">
        <f aca="false">IFERROR(E21/C21,0)</f>
        <v>0.314285714285714</v>
      </c>
      <c r="G21" s="10" t="str">
        <f aca="false">IF(ABS(F21)&gt;=0.1,"REVIEW","OK")</f>
        <v>REVIEW</v>
      </c>
    </row>
    <row r="22" customFormat="false" ht="15" hidden="false" customHeight="false" outlineLevel="0" collapsed="false">
      <c r="A22" s="6" t="s">
        <v>31</v>
      </c>
      <c r="B22" s="6" t="s">
        <v>29</v>
      </c>
      <c r="C22" s="7" t="n">
        <v>70</v>
      </c>
      <c r="D22" s="7" t="n">
        <v>69</v>
      </c>
      <c r="E22" s="8" t="n">
        <f aca="false">D22-C22</f>
        <v>-1</v>
      </c>
      <c r="F22" s="9" t="n">
        <f aca="false">IFERROR(E22/C22,0)</f>
        <v>-0.0142857142857143</v>
      </c>
      <c r="G22" s="10" t="str">
        <f aca="false">IF(ABS(F22)&gt;=0.1,"REVIEW","OK")</f>
        <v>OK</v>
      </c>
    </row>
    <row r="23" customFormat="false" ht="15" hidden="false" customHeight="false" outlineLevel="0" collapsed="false">
      <c r="A23" s="6" t="s">
        <v>32</v>
      </c>
      <c r="B23" s="6" t="s">
        <v>24</v>
      </c>
      <c r="C23" s="7" t="n">
        <v>25</v>
      </c>
      <c r="D23" s="7" t="n">
        <v>24</v>
      </c>
      <c r="E23" s="8" t="n">
        <f aca="false">D23-C23</f>
        <v>-1</v>
      </c>
      <c r="F23" s="9" t="n">
        <f aca="false">IFERROR(E23/C23,0)</f>
        <v>-0.04</v>
      </c>
      <c r="G23" s="10" t="str">
        <f aca="false">IF(ABS(F23)&gt;=0.1,"REVIEW","OK")</f>
        <v>OK</v>
      </c>
    </row>
    <row r="24" customFormat="false" ht="15" hidden="false" customHeight="false" outlineLevel="0" collapsed="false">
      <c r="A24" s="6" t="s">
        <v>32</v>
      </c>
      <c r="B24" s="6" t="s">
        <v>25</v>
      </c>
      <c r="C24" s="7" t="n">
        <v>25</v>
      </c>
      <c r="D24" s="7" t="n">
        <v>26</v>
      </c>
      <c r="E24" s="8" t="n">
        <f aca="false">D24-C24</f>
        <v>1</v>
      </c>
      <c r="F24" s="9" t="n">
        <f aca="false">IFERROR(E24/C24,0)</f>
        <v>0.04</v>
      </c>
      <c r="G24" s="10" t="str">
        <f aca="false">IF(ABS(F24)&gt;=0.1,"REVIEW","OK")</f>
        <v>OK</v>
      </c>
    </row>
    <row r="25" customFormat="false" ht="15" hidden="false" customHeight="false" outlineLevel="0" collapsed="false">
      <c r="A25" s="6" t="s">
        <v>32</v>
      </c>
      <c r="B25" s="6" t="s">
        <v>26</v>
      </c>
      <c r="C25" s="7" t="n">
        <v>28</v>
      </c>
      <c r="D25" s="7" t="n">
        <v>28</v>
      </c>
      <c r="E25" s="8" t="n">
        <f aca="false">D25-C25</f>
        <v>0</v>
      </c>
      <c r="F25" s="9" t="n">
        <f aca="false">IFERROR(E25/C25,0)</f>
        <v>0</v>
      </c>
      <c r="G25" s="10" t="str">
        <f aca="false">IF(ABS(F25)&gt;=0.1,"REVIEW","OK")</f>
        <v>OK</v>
      </c>
    </row>
    <row r="26" customFormat="false" ht="15" hidden="false" customHeight="false" outlineLevel="0" collapsed="false">
      <c r="A26" s="6" t="s">
        <v>32</v>
      </c>
      <c r="B26" s="6" t="s">
        <v>27</v>
      </c>
      <c r="C26" s="7" t="n">
        <v>28</v>
      </c>
      <c r="D26" s="7" t="n">
        <v>27</v>
      </c>
      <c r="E26" s="8" t="n">
        <f aca="false">D26-C26</f>
        <v>-1</v>
      </c>
      <c r="F26" s="9" t="n">
        <f aca="false">IFERROR(E26/C26,0)</f>
        <v>-0.0357142857142857</v>
      </c>
      <c r="G26" s="10" t="str">
        <f aca="false">IF(ABS(F26)&gt;=0.1,"REVIEW","OK")</f>
        <v>OK</v>
      </c>
    </row>
    <row r="27" customFormat="false" ht="15" hidden="false" customHeight="false" outlineLevel="0" collapsed="false">
      <c r="A27" s="6" t="s">
        <v>32</v>
      </c>
      <c r="B27" s="6" t="s">
        <v>28</v>
      </c>
      <c r="C27" s="7" t="n">
        <v>28</v>
      </c>
      <c r="D27" s="7" t="n">
        <v>30</v>
      </c>
      <c r="E27" s="8" t="n">
        <f aca="false">D27-C27</f>
        <v>2</v>
      </c>
      <c r="F27" s="9" t="n">
        <f aca="false">IFERROR(E27/C27,0)</f>
        <v>0.0714285714285714</v>
      </c>
      <c r="G27" s="10" t="str">
        <f aca="false">IF(ABS(F27)&gt;=0.1,"REVIEW","OK")</f>
        <v>OK</v>
      </c>
    </row>
    <row r="28" customFormat="false" ht="15" hidden="false" customHeight="false" outlineLevel="0" collapsed="false">
      <c r="A28" s="6" t="s">
        <v>32</v>
      </c>
      <c r="B28" s="6" t="s">
        <v>29</v>
      </c>
      <c r="C28" s="7" t="n">
        <v>30</v>
      </c>
      <c r="D28" s="7" t="n">
        <v>29</v>
      </c>
      <c r="E28" s="8" t="n">
        <f aca="false">D28-C28</f>
        <v>-1</v>
      </c>
      <c r="F28" s="9" t="n">
        <f aca="false">IFERROR(E28/C28,0)</f>
        <v>-0.0333333333333333</v>
      </c>
      <c r="G28" s="10" t="str">
        <f aca="false">IF(ABS(F28)&gt;=0.1,"REVIEW","OK")</f>
        <v>OK</v>
      </c>
    </row>
    <row r="29" customFormat="false" ht="15" hidden="false" customHeight="false" outlineLevel="0" collapsed="false">
      <c r="A29" s="11" t="s">
        <v>33</v>
      </c>
      <c r="B29" s="11" t="s">
        <v>34</v>
      </c>
      <c r="C29" s="12" t="n">
        <f aca="false">SUM(C5:C28)</f>
        <v>5159</v>
      </c>
      <c r="D29" s="12" t="n">
        <f aca="false">SUM(D5:D28)</f>
        <v>5314</v>
      </c>
      <c r="E29" s="12" t="n">
        <f aca="false">D29-C29</f>
        <v>155</v>
      </c>
      <c r="F29" s="13" t="n">
        <f aca="false">IFERROR(E29/C29,0)</f>
        <v>0.0300445822833883</v>
      </c>
      <c r="G29" s="11"/>
    </row>
    <row r="32" customFormat="false" ht="15" hidden="false" customHeight="false" outlineLevel="0" collapsed="false">
      <c r="A32" s="14" t="s">
        <v>35</v>
      </c>
    </row>
    <row r="33" customFormat="false" ht="15" hidden="false" customHeight="false" outlineLevel="0" collapsed="false">
      <c r="A33" s="5" t="s">
        <v>16</v>
      </c>
      <c r="B33" s="5" t="s">
        <v>36</v>
      </c>
      <c r="C33" s="5" t="s">
        <v>37</v>
      </c>
      <c r="D33" s="5" t="s">
        <v>38</v>
      </c>
      <c r="E33" s="5" t="s">
        <v>21</v>
      </c>
    </row>
    <row r="34" customFormat="false" ht="15" hidden="false" customHeight="false" outlineLevel="0" collapsed="false">
      <c r="A34" s="6" t="s">
        <v>23</v>
      </c>
      <c r="B34" s="15" t="n">
        <f aca="false">SUMIFS(C5:C28,A5:A28,A34)</f>
        <v>2645</v>
      </c>
      <c r="C34" s="15" t="n">
        <f aca="false">SUMIFS(D5:D28,A5:A28,A34)</f>
        <v>2687</v>
      </c>
      <c r="D34" s="15" t="n">
        <f aca="false">C34-B34</f>
        <v>42</v>
      </c>
      <c r="E34" s="16" t="n">
        <f aca="false">IFERROR(D34/B34,0)</f>
        <v>0.0158790170132325</v>
      </c>
    </row>
    <row r="35" customFormat="false" ht="15" hidden="false" customHeight="false" outlineLevel="0" collapsed="false">
      <c r="A35" s="6" t="s">
        <v>30</v>
      </c>
      <c r="B35" s="15" t="n">
        <f aca="false">SUMIFS(C5:C28,A5:A28,A35)</f>
        <v>1960</v>
      </c>
      <c r="C35" s="15" t="n">
        <f aca="false">SUMIFS(D5:D28,A5:A28,A35)</f>
        <v>2044</v>
      </c>
      <c r="D35" s="15" t="n">
        <f aca="false">C35-B35</f>
        <v>84</v>
      </c>
      <c r="E35" s="16" t="n">
        <f aca="false">IFERROR(D35/B35,0)</f>
        <v>0.0428571428571429</v>
      </c>
    </row>
    <row r="36" customFormat="false" ht="15" hidden="false" customHeight="false" outlineLevel="0" collapsed="false">
      <c r="A36" s="6" t="s">
        <v>31</v>
      </c>
      <c r="B36" s="15" t="n">
        <f aca="false">SUMIFS(C5:C28,A5:A28,A36)</f>
        <v>390</v>
      </c>
      <c r="C36" s="15" t="n">
        <f aca="false">SUMIFS(D5:D28,A5:A28,A36)</f>
        <v>419</v>
      </c>
      <c r="D36" s="15" t="n">
        <f aca="false">C36-B36</f>
        <v>29</v>
      </c>
      <c r="E36" s="16" t="n">
        <f aca="false">IFERROR(D36/B36,0)</f>
        <v>0.0743589743589744</v>
      </c>
    </row>
    <row r="37" customFormat="false" ht="15" hidden="false" customHeight="false" outlineLevel="0" collapsed="false">
      <c r="A37" s="6" t="s">
        <v>32</v>
      </c>
      <c r="B37" s="15" t="n">
        <f aca="false">SUMIFS(C5:C28,A5:A28,A37)</f>
        <v>164</v>
      </c>
      <c r="C37" s="15" t="n">
        <f aca="false">SUMIFS(D5:D28,A5:A28,A37)</f>
        <v>164</v>
      </c>
      <c r="D37" s="15" t="n">
        <f aca="false">C37-B37</f>
        <v>0</v>
      </c>
      <c r="E37" s="16" t="n">
        <f aca="false">IFERROR(D37/B37,0)</f>
        <v>0</v>
      </c>
    </row>
  </sheetData>
  <mergeCells count="2">
    <mergeCell ref="A1:G1"/>
    <mergeCell ref="A2:G2"/>
  </mergeCells>
  <conditionalFormatting sqref="G5:G28">
    <cfRule type="cellIs" priority="2" operator="equal" aboveAverage="0" equalAverage="0" bottom="0" percent="0" rank="0" text="" dxfId="0">
      <formula>"REVIEW"</formula>
    </cfRule>
  </conditionalFormatting>
  <conditionalFormatting sqref="F5:F28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4"/>
    <col collapsed="false" customWidth="true" hidden="false" outlineLevel="0" max="11" min="5" style="0" width="12"/>
  </cols>
  <sheetData>
    <row r="1" customFormat="false" ht="21.75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3.85" hidden="false" customHeight="false" outlineLevel="0" collapsed="false">
      <c r="A4" s="5" t="s">
        <v>17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45</v>
      </c>
      <c r="G4" s="5" t="s">
        <v>46</v>
      </c>
      <c r="H4" s="5" t="s">
        <v>47</v>
      </c>
      <c r="I4" s="5" t="s">
        <v>48</v>
      </c>
      <c r="J4" s="5" t="s">
        <v>49</v>
      </c>
      <c r="K4" s="5" t="s">
        <v>50</v>
      </c>
    </row>
    <row r="5" customFormat="false" ht="15" hidden="false" customHeight="false" outlineLevel="0" collapsed="false">
      <c r="A5" s="6" t="s">
        <v>24</v>
      </c>
      <c r="B5" s="6" t="s">
        <v>51</v>
      </c>
      <c r="C5" s="17" t="n">
        <v>120</v>
      </c>
      <c r="D5" s="18" t="n">
        <v>2400</v>
      </c>
      <c r="E5" s="18" t="n">
        <v>96</v>
      </c>
      <c r="F5" s="18" t="n">
        <v>780</v>
      </c>
      <c r="G5" s="17" t="n">
        <v>410</v>
      </c>
      <c r="H5" s="19" t="n">
        <f aca="false">IFERROR(E5/D5,0)</f>
        <v>0.04</v>
      </c>
      <c r="I5" s="20" t="n">
        <f aca="false">IFERROR(C5/E5,0)</f>
        <v>1.25</v>
      </c>
      <c r="J5" s="19" t="n">
        <f aca="false">IFERROR(F5/(E5*1000),0)</f>
        <v>0.008125</v>
      </c>
      <c r="K5" s="21" t="n">
        <f aca="false">IFERROR(G5/C5,0)</f>
        <v>3.41666666666667</v>
      </c>
    </row>
    <row r="6" customFormat="false" ht="15" hidden="false" customHeight="false" outlineLevel="0" collapsed="false">
      <c r="A6" s="6" t="s">
        <v>25</v>
      </c>
      <c r="B6" s="6" t="s">
        <v>51</v>
      </c>
      <c r="C6" s="17" t="n">
        <v>110</v>
      </c>
      <c r="D6" s="18" t="n">
        <v>2250</v>
      </c>
      <c r="E6" s="18" t="n">
        <v>88</v>
      </c>
      <c r="F6" s="18" t="n">
        <v>710</v>
      </c>
      <c r="G6" s="17" t="n">
        <v>375</v>
      </c>
      <c r="H6" s="19" t="n">
        <f aca="false">IFERROR(E6/D6,0)</f>
        <v>0.0391111111111111</v>
      </c>
      <c r="I6" s="20" t="n">
        <f aca="false">IFERROR(C6/E6,0)</f>
        <v>1.25</v>
      </c>
      <c r="J6" s="19" t="n">
        <f aca="false">IFERROR(F6/(E6*1000),0)</f>
        <v>0.00806818181818182</v>
      </c>
      <c r="K6" s="21" t="n">
        <f aca="false">IFERROR(G6/C6,0)</f>
        <v>3.40909090909091</v>
      </c>
    </row>
    <row r="7" customFormat="false" ht="15" hidden="false" customHeight="false" outlineLevel="0" collapsed="false">
      <c r="A7" s="6" t="s">
        <v>26</v>
      </c>
      <c r="B7" s="6" t="s">
        <v>51</v>
      </c>
      <c r="C7" s="17" t="n">
        <v>135</v>
      </c>
      <c r="D7" s="18" t="n">
        <v>2700</v>
      </c>
      <c r="E7" s="18" t="n">
        <v>106</v>
      </c>
      <c r="F7" s="18" t="n">
        <v>860</v>
      </c>
      <c r="G7" s="17" t="n">
        <v>460</v>
      </c>
      <c r="H7" s="19" t="n">
        <f aca="false">IFERROR(E7/D7,0)</f>
        <v>0.0392592592592593</v>
      </c>
      <c r="I7" s="20" t="n">
        <f aca="false">IFERROR(C7/E7,0)</f>
        <v>1.27358490566038</v>
      </c>
      <c r="J7" s="19" t="n">
        <f aca="false">IFERROR(F7/(E7*1000),0)</f>
        <v>0.00811320754716981</v>
      </c>
      <c r="K7" s="21" t="n">
        <f aca="false">IFERROR(G7/C7,0)</f>
        <v>3.40740740740741</v>
      </c>
    </row>
    <row r="8" customFormat="false" ht="15" hidden="false" customHeight="false" outlineLevel="0" collapsed="false">
      <c r="A8" s="6" t="s">
        <v>27</v>
      </c>
      <c r="B8" s="6" t="s">
        <v>51</v>
      </c>
      <c r="C8" s="17" t="n">
        <v>130</v>
      </c>
      <c r="D8" s="18" t="n">
        <v>2600</v>
      </c>
      <c r="E8" s="18" t="n">
        <v>101</v>
      </c>
      <c r="F8" s="18" t="n">
        <v>830</v>
      </c>
      <c r="G8" s="17" t="n">
        <v>445</v>
      </c>
      <c r="H8" s="19" t="n">
        <f aca="false">IFERROR(E8/D8,0)</f>
        <v>0.0388461538461538</v>
      </c>
      <c r="I8" s="20" t="n">
        <f aca="false">IFERROR(C8/E8,0)</f>
        <v>1.28712871287129</v>
      </c>
      <c r="J8" s="19" t="n">
        <f aca="false">IFERROR(F8/(E8*1000),0)</f>
        <v>0.00821782178217822</v>
      </c>
      <c r="K8" s="21" t="n">
        <f aca="false">IFERROR(G8/C8,0)</f>
        <v>3.42307692307692</v>
      </c>
    </row>
    <row r="9" customFormat="false" ht="15" hidden="false" customHeight="false" outlineLevel="0" collapsed="false">
      <c r="A9" s="6" t="s">
        <v>28</v>
      </c>
      <c r="B9" s="6" t="s">
        <v>51</v>
      </c>
      <c r="C9" s="17" t="n">
        <v>145</v>
      </c>
      <c r="D9" s="18" t="n">
        <v>2850</v>
      </c>
      <c r="E9" s="18" t="n">
        <v>112</v>
      </c>
      <c r="F9" s="18" t="n">
        <v>905</v>
      </c>
      <c r="G9" s="17" t="n">
        <v>505</v>
      </c>
      <c r="H9" s="19" t="n">
        <f aca="false">IFERROR(E9/D9,0)</f>
        <v>0.0392982456140351</v>
      </c>
      <c r="I9" s="20" t="n">
        <f aca="false">IFERROR(C9/E9,0)</f>
        <v>1.29464285714286</v>
      </c>
      <c r="J9" s="19" t="n">
        <f aca="false">IFERROR(F9/(E9*1000),0)</f>
        <v>0.00808035714285714</v>
      </c>
      <c r="K9" s="21" t="n">
        <f aca="false">IFERROR(G9/C9,0)</f>
        <v>3.48275862068966</v>
      </c>
    </row>
    <row r="10" customFormat="false" ht="15" hidden="false" customHeight="false" outlineLevel="0" collapsed="false">
      <c r="A10" s="6" t="s">
        <v>29</v>
      </c>
      <c r="B10" s="6" t="s">
        <v>51</v>
      </c>
      <c r="C10" s="17" t="n">
        <v>140</v>
      </c>
      <c r="D10" s="18" t="n">
        <v>2790</v>
      </c>
      <c r="E10" s="18" t="n">
        <v>109</v>
      </c>
      <c r="F10" s="18" t="n">
        <v>890</v>
      </c>
      <c r="G10" s="17" t="n">
        <v>495</v>
      </c>
      <c r="H10" s="19" t="n">
        <f aca="false">IFERROR(E10/D10,0)</f>
        <v>0.0390681003584229</v>
      </c>
      <c r="I10" s="20" t="n">
        <f aca="false">IFERROR(C10/E10,0)</f>
        <v>1.28440366972477</v>
      </c>
      <c r="J10" s="19" t="n">
        <f aca="false">IFERROR(F10/(E10*1000),0)</f>
        <v>0.0081651376146789</v>
      </c>
      <c r="K10" s="21" t="n">
        <f aca="false">IFERROR(G10/C10,0)</f>
        <v>3.53571428571429</v>
      </c>
    </row>
    <row r="11" customFormat="false" ht="15" hidden="false" customHeight="false" outlineLevel="0" collapsed="false">
      <c r="A11" s="6" t="s">
        <v>24</v>
      </c>
      <c r="B11" s="6" t="s">
        <v>52</v>
      </c>
      <c r="C11" s="17" t="n">
        <v>90</v>
      </c>
      <c r="D11" s="18" t="n">
        <v>3600</v>
      </c>
      <c r="E11" s="18" t="n">
        <v>72</v>
      </c>
      <c r="F11" s="18" t="n">
        <v>430</v>
      </c>
      <c r="G11" s="17" t="n">
        <v>260</v>
      </c>
      <c r="H11" s="19" t="n">
        <f aca="false">IFERROR(E11/D11,0)</f>
        <v>0.02</v>
      </c>
      <c r="I11" s="20" t="n">
        <f aca="false">IFERROR(C11/E11,0)</f>
        <v>1.25</v>
      </c>
      <c r="J11" s="19" t="n">
        <f aca="false">IFERROR(F11/(E11*1000),0)</f>
        <v>0.00597222222222222</v>
      </c>
      <c r="K11" s="21" t="n">
        <f aca="false">IFERROR(G11/C11,0)</f>
        <v>2.88888888888889</v>
      </c>
    </row>
    <row r="12" customFormat="false" ht="15" hidden="false" customHeight="false" outlineLevel="0" collapsed="false">
      <c r="A12" s="6" t="s">
        <v>25</v>
      </c>
      <c r="B12" s="6" t="s">
        <v>52</v>
      </c>
      <c r="C12" s="17" t="n">
        <v>85</v>
      </c>
      <c r="D12" s="18" t="n">
        <v>3400</v>
      </c>
      <c r="E12" s="18" t="n">
        <v>68</v>
      </c>
      <c r="F12" s="18" t="n">
        <v>400</v>
      </c>
      <c r="G12" s="17" t="n">
        <v>240</v>
      </c>
      <c r="H12" s="19" t="n">
        <f aca="false">IFERROR(E12/D12,0)</f>
        <v>0.02</v>
      </c>
      <c r="I12" s="20" t="n">
        <f aca="false">IFERROR(C12/E12,0)</f>
        <v>1.25</v>
      </c>
      <c r="J12" s="19" t="n">
        <f aca="false">IFERROR(F12/(E12*1000),0)</f>
        <v>0.00588235294117647</v>
      </c>
      <c r="K12" s="21" t="n">
        <f aca="false">IFERROR(G12/C12,0)</f>
        <v>2.82352941176471</v>
      </c>
    </row>
    <row r="13" customFormat="false" ht="15" hidden="false" customHeight="false" outlineLevel="0" collapsed="false">
      <c r="A13" s="6" t="s">
        <v>26</v>
      </c>
      <c r="B13" s="6" t="s">
        <v>52</v>
      </c>
      <c r="C13" s="17" t="n">
        <v>100</v>
      </c>
      <c r="D13" s="18" t="n">
        <v>4000</v>
      </c>
      <c r="E13" s="18" t="n">
        <v>80</v>
      </c>
      <c r="F13" s="18" t="n">
        <v>470</v>
      </c>
      <c r="G13" s="17" t="n">
        <v>290</v>
      </c>
      <c r="H13" s="19" t="n">
        <f aca="false">IFERROR(E13/D13,0)</f>
        <v>0.02</v>
      </c>
      <c r="I13" s="20" t="n">
        <f aca="false">IFERROR(C13/E13,0)</f>
        <v>1.25</v>
      </c>
      <c r="J13" s="19" t="n">
        <f aca="false">IFERROR(F13/(E13*1000),0)</f>
        <v>0.005875</v>
      </c>
      <c r="K13" s="21" t="n">
        <f aca="false">IFERROR(G13/C13,0)</f>
        <v>2.9</v>
      </c>
    </row>
    <row r="14" customFormat="false" ht="15" hidden="false" customHeight="false" outlineLevel="0" collapsed="false">
      <c r="A14" s="6" t="s">
        <v>27</v>
      </c>
      <c r="B14" s="6" t="s">
        <v>52</v>
      </c>
      <c r="C14" s="17" t="n">
        <v>98</v>
      </c>
      <c r="D14" s="18" t="n">
        <v>3900</v>
      </c>
      <c r="E14" s="18" t="n">
        <v>78</v>
      </c>
      <c r="F14" s="18" t="n">
        <v>460</v>
      </c>
      <c r="G14" s="17" t="n">
        <v>285</v>
      </c>
      <c r="H14" s="19" t="n">
        <f aca="false">IFERROR(E14/D14,0)</f>
        <v>0.02</v>
      </c>
      <c r="I14" s="20" t="n">
        <f aca="false">IFERROR(C14/E14,0)</f>
        <v>1.25641025641026</v>
      </c>
      <c r="J14" s="19" t="n">
        <f aca="false">IFERROR(F14/(E14*1000),0)</f>
        <v>0.0058974358974359</v>
      </c>
      <c r="K14" s="21" t="n">
        <f aca="false">IFERROR(G14/C14,0)</f>
        <v>2.90816326530612</v>
      </c>
    </row>
    <row r="15" customFormat="false" ht="15" hidden="false" customHeight="false" outlineLevel="0" collapsed="false">
      <c r="A15" s="6" t="s">
        <v>28</v>
      </c>
      <c r="B15" s="6" t="s">
        <v>52</v>
      </c>
      <c r="C15" s="17" t="n">
        <v>112</v>
      </c>
      <c r="D15" s="18" t="n">
        <v>4450</v>
      </c>
      <c r="E15" s="18" t="n">
        <v>89</v>
      </c>
      <c r="F15" s="18" t="n">
        <v>520</v>
      </c>
      <c r="G15" s="17" t="n">
        <v>330</v>
      </c>
      <c r="H15" s="19" t="n">
        <f aca="false">IFERROR(E15/D15,0)</f>
        <v>0.02</v>
      </c>
      <c r="I15" s="20" t="n">
        <f aca="false">IFERROR(C15/E15,0)</f>
        <v>1.25842696629213</v>
      </c>
      <c r="J15" s="19" t="n">
        <f aca="false">IFERROR(F15/(E15*1000),0)</f>
        <v>0.00584269662921348</v>
      </c>
      <c r="K15" s="21" t="n">
        <f aca="false">IFERROR(G15/C15,0)</f>
        <v>2.94642857142857</v>
      </c>
    </row>
    <row r="16" customFormat="false" ht="15" hidden="false" customHeight="false" outlineLevel="0" collapsed="false">
      <c r="A16" s="6" t="s">
        <v>29</v>
      </c>
      <c r="B16" s="6" t="s">
        <v>52</v>
      </c>
      <c r="C16" s="17" t="n">
        <v>108</v>
      </c>
      <c r="D16" s="18" t="n">
        <v>4300</v>
      </c>
      <c r="E16" s="18" t="n">
        <v>86</v>
      </c>
      <c r="F16" s="18" t="n">
        <v>505</v>
      </c>
      <c r="G16" s="17" t="n">
        <v>320</v>
      </c>
      <c r="H16" s="19" t="n">
        <f aca="false">IFERROR(E16/D16,0)</f>
        <v>0.02</v>
      </c>
      <c r="I16" s="20" t="n">
        <f aca="false">IFERROR(C16/E16,0)</f>
        <v>1.25581395348837</v>
      </c>
      <c r="J16" s="19" t="n">
        <f aca="false">IFERROR(F16/(E16*1000),0)</f>
        <v>0.00587209302325581</v>
      </c>
      <c r="K16" s="21" t="n">
        <f aca="false">IFERROR(G16/C16,0)</f>
        <v>2.96296296296296</v>
      </c>
    </row>
    <row r="17" customFormat="false" ht="15" hidden="false" customHeight="false" outlineLevel="0" collapsed="false">
      <c r="A17" s="6" t="s">
        <v>24</v>
      </c>
      <c r="B17" s="6" t="s">
        <v>53</v>
      </c>
      <c r="C17" s="17" t="n">
        <v>55</v>
      </c>
      <c r="D17" s="18" t="n">
        <v>5500</v>
      </c>
      <c r="E17" s="18" t="n">
        <v>33</v>
      </c>
      <c r="F17" s="18" t="n">
        <v>165</v>
      </c>
      <c r="G17" s="17" t="n">
        <v>95</v>
      </c>
      <c r="H17" s="19" t="n">
        <f aca="false">IFERROR(E17/D17,0)</f>
        <v>0.006</v>
      </c>
      <c r="I17" s="20" t="n">
        <f aca="false">IFERROR(C17/E17,0)</f>
        <v>1.66666666666667</v>
      </c>
      <c r="J17" s="19" t="n">
        <f aca="false">IFERROR(F17/(E17*1000),0)</f>
        <v>0.005</v>
      </c>
      <c r="K17" s="21" t="n">
        <f aca="false">IFERROR(G17/C17,0)</f>
        <v>1.72727272727273</v>
      </c>
    </row>
    <row r="18" customFormat="false" ht="15" hidden="false" customHeight="false" outlineLevel="0" collapsed="false">
      <c r="A18" s="6" t="s">
        <v>25</v>
      </c>
      <c r="B18" s="6" t="s">
        <v>53</v>
      </c>
      <c r="C18" s="17" t="n">
        <v>52</v>
      </c>
      <c r="D18" s="18" t="n">
        <v>5200</v>
      </c>
      <c r="E18" s="18" t="n">
        <v>31</v>
      </c>
      <c r="F18" s="18" t="n">
        <v>150</v>
      </c>
      <c r="G18" s="17" t="n">
        <v>88</v>
      </c>
      <c r="H18" s="19" t="n">
        <f aca="false">IFERROR(E18/D18,0)</f>
        <v>0.00596153846153846</v>
      </c>
      <c r="I18" s="20" t="n">
        <f aca="false">IFERROR(C18/E18,0)</f>
        <v>1.67741935483871</v>
      </c>
      <c r="J18" s="19" t="n">
        <f aca="false">IFERROR(F18/(E18*1000),0)</f>
        <v>0.00483870967741936</v>
      </c>
      <c r="K18" s="21" t="n">
        <f aca="false">IFERROR(G18/C18,0)</f>
        <v>1.69230769230769</v>
      </c>
    </row>
    <row r="19" customFormat="false" ht="15" hidden="false" customHeight="false" outlineLevel="0" collapsed="false">
      <c r="A19" s="6" t="s">
        <v>26</v>
      </c>
      <c r="B19" s="6" t="s">
        <v>53</v>
      </c>
      <c r="C19" s="17" t="n">
        <v>60</v>
      </c>
      <c r="D19" s="18" t="n">
        <v>6000</v>
      </c>
      <c r="E19" s="18" t="n">
        <v>36</v>
      </c>
      <c r="F19" s="18" t="n">
        <v>178</v>
      </c>
      <c r="G19" s="17" t="n">
        <v>102</v>
      </c>
      <c r="H19" s="19" t="n">
        <f aca="false">IFERROR(E19/D19,0)</f>
        <v>0.006</v>
      </c>
      <c r="I19" s="20" t="n">
        <f aca="false">IFERROR(C19/E19,0)</f>
        <v>1.66666666666667</v>
      </c>
      <c r="J19" s="19" t="n">
        <f aca="false">IFERROR(F19/(E19*1000),0)</f>
        <v>0.00494444444444444</v>
      </c>
      <c r="K19" s="21" t="n">
        <f aca="false">IFERROR(G19/C19,0)</f>
        <v>1.7</v>
      </c>
    </row>
    <row r="20" customFormat="false" ht="15" hidden="false" customHeight="false" outlineLevel="0" collapsed="false">
      <c r="A20" s="6" t="s">
        <v>27</v>
      </c>
      <c r="B20" s="6" t="s">
        <v>53</v>
      </c>
      <c r="C20" s="17" t="n">
        <v>58</v>
      </c>
      <c r="D20" s="18" t="n">
        <v>5800</v>
      </c>
      <c r="E20" s="18" t="n">
        <v>35</v>
      </c>
      <c r="F20" s="18" t="n">
        <v>172</v>
      </c>
      <c r="G20" s="17" t="n">
        <v>99</v>
      </c>
      <c r="H20" s="19" t="n">
        <f aca="false">IFERROR(E20/D20,0)</f>
        <v>0.00603448275862069</v>
      </c>
      <c r="I20" s="20" t="n">
        <f aca="false">IFERROR(C20/E20,0)</f>
        <v>1.65714285714286</v>
      </c>
      <c r="J20" s="19" t="n">
        <f aca="false">IFERROR(F20/(E20*1000),0)</f>
        <v>0.00491428571428571</v>
      </c>
      <c r="K20" s="21" t="n">
        <f aca="false">IFERROR(G20/C20,0)</f>
        <v>1.70689655172414</v>
      </c>
    </row>
    <row r="21" customFormat="false" ht="15" hidden="false" customHeight="false" outlineLevel="0" collapsed="false">
      <c r="A21" s="6" t="s">
        <v>28</v>
      </c>
      <c r="B21" s="6" t="s">
        <v>53</v>
      </c>
      <c r="C21" s="17" t="n">
        <v>63</v>
      </c>
      <c r="D21" s="18" t="n">
        <v>6300</v>
      </c>
      <c r="E21" s="18" t="n">
        <v>38</v>
      </c>
      <c r="F21" s="18" t="n">
        <v>188</v>
      </c>
      <c r="G21" s="17" t="n">
        <v>108</v>
      </c>
      <c r="H21" s="19" t="n">
        <f aca="false">IFERROR(E21/D21,0)</f>
        <v>0.00603174603174603</v>
      </c>
      <c r="I21" s="20" t="n">
        <f aca="false">IFERROR(C21/E21,0)</f>
        <v>1.65789473684211</v>
      </c>
      <c r="J21" s="19" t="n">
        <f aca="false">IFERROR(F21/(E21*1000),0)</f>
        <v>0.00494736842105263</v>
      </c>
      <c r="K21" s="21" t="n">
        <f aca="false">IFERROR(G21/C21,0)</f>
        <v>1.71428571428571</v>
      </c>
    </row>
    <row r="22" customFormat="false" ht="15" hidden="false" customHeight="false" outlineLevel="0" collapsed="false">
      <c r="A22" s="6" t="s">
        <v>29</v>
      </c>
      <c r="B22" s="6" t="s">
        <v>53</v>
      </c>
      <c r="C22" s="17" t="n">
        <v>60</v>
      </c>
      <c r="D22" s="18" t="n">
        <v>6000</v>
      </c>
      <c r="E22" s="18" t="n">
        <v>36</v>
      </c>
      <c r="F22" s="18" t="n">
        <v>180</v>
      </c>
      <c r="G22" s="17" t="n">
        <v>104</v>
      </c>
      <c r="H22" s="19" t="n">
        <f aca="false">IFERROR(E22/D22,0)</f>
        <v>0.006</v>
      </c>
      <c r="I22" s="20" t="n">
        <f aca="false">IFERROR(C22/E22,0)</f>
        <v>1.66666666666667</v>
      </c>
      <c r="J22" s="19" t="n">
        <f aca="false">IFERROR(F22/(E22*1000),0)</f>
        <v>0.005</v>
      </c>
      <c r="K22" s="21" t="n">
        <f aca="false">IFERROR(G22/C22,0)</f>
        <v>1.73333333333333</v>
      </c>
    </row>
    <row r="23" customFormat="false" ht="15" hidden="false" customHeight="false" outlineLevel="0" collapsed="false">
      <c r="A23" s="6" t="s">
        <v>24</v>
      </c>
      <c r="B23" s="6" t="s">
        <v>54</v>
      </c>
      <c r="C23" s="17" t="n">
        <v>35</v>
      </c>
      <c r="D23" s="18" t="n">
        <v>2100</v>
      </c>
      <c r="E23" s="18" t="n">
        <v>21</v>
      </c>
      <c r="F23" s="18" t="n">
        <v>95</v>
      </c>
      <c r="G23" s="17" t="n">
        <v>62</v>
      </c>
      <c r="H23" s="19" t="n">
        <f aca="false">IFERROR(E23/D23,0)</f>
        <v>0.01</v>
      </c>
      <c r="I23" s="20" t="n">
        <f aca="false">IFERROR(C23/E23,0)</f>
        <v>1.66666666666667</v>
      </c>
      <c r="J23" s="19" t="n">
        <f aca="false">IFERROR(F23/(E23*1000),0)</f>
        <v>0.00452380952380952</v>
      </c>
      <c r="K23" s="21" t="n">
        <f aca="false">IFERROR(G23/C23,0)</f>
        <v>1.77142857142857</v>
      </c>
    </row>
    <row r="24" customFormat="false" ht="15" hidden="false" customHeight="false" outlineLevel="0" collapsed="false">
      <c r="A24" s="6" t="s">
        <v>25</v>
      </c>
      <c r="B24" s="6" t="s">
        <v>54</v>
      </c>
      <c r="C24" s="17" t="n">
        <v>32</v>
      </c>
      <c r="D24" s="18" t="n">
        <v>1950</v>
      </c>
      <c r="E24" s="18" t="n">
        <v>19</v>
      </c>
      <c r="F24" s="18" t="n">
        <v>88</v>
      </c>
      <c r="G24" s="17" t="n">
        <v>57</v>
      </c>
      <c r="H24" s="19" t="n">
        <f aca="false">IFERROR(E24/D24,0)</f>
        <v>0.00974358974358974</v>
      </c>
      <c r="I24" s="20" t="n">
        <f aca="false">IFERROR(C24/E24,0)</f>
        <v>1.68421052631579</v>
      </c>
      <c r="J24" s="19" t="n">
        <f aca="false">IFERROR(F24/(E24*1000),0)</f>
        <v>0.00463157894736842</v>
      </c>
      <c r="K24" s="21" t="n">
        <f aca="false">IFERROR(G24/C24,0)</f>
        <v>1.78125</v>
      </c>
    </row>
    <row r="25" customFormat="false" ht="15" hidden="false" customHeight="false" outlineLevel="0" collapsed="false">
      <c r="A25" s="6" t="s">
        <v>26</v>
      </c>
      <c r="B25" s="6" t="s">
        <v>54</v>
      </c>
      <c r="C25" s="17" t="n">
        <v>38</v>
      </c>
      <c r="D25" s="18" t="n">
        <v>2300</v>
      </c>
      <c r="E25" s="18" t="n">
        <v>23</v>
      </c>
      <c r="F25" s="18" t="n">
        <v>104</v>
      </c>
      <c r="G25" s="17" t="n">
        <v>68</v>
      </c>
      <c r="H25" s="19" t="n">
        <f aca="false">IFERROR(E25/D25,0)</f>
        <v>0.01</v>
      </c>
      <c r="I25" s="20" t="n">
        <f aca="false">IFERROR(C25/E25,0)</f>
        <v>1.65217391304348</v>
      </c>
      <c r="J25" s="19" t="n">
        <f aca="false">IFERROR(F25/(E25*1000),0)</f>
        <v>0.00452173913043478</v>
      </c>
      <c r="K25" s="21" t="n">
        <f aca="false">IFERROR(G25/C25,0)</f>
        <v>1.78947368421053</v>
      </c>
    </row>
    <row r="26" customFormat="false" ht="15" hidden="false" customHeight="false" outlineLevel="0" collapsed="false">
      <c r="A26" s="6" t="s">
        <v>27</v>
      </c>
      <c r="B26" s="6" t="s">
        <v>54</v>
      </c>
      <c r="C26" s="17" t="n">
        <v>36</v>
      </c>
      <c r="D26" s="18" t="n">
        <v>2200</v>
      </c>
      <c r="E26" s="18" t="n">
        <v>22</v>
      </c>
      <c r="F26" s="18" t="n">
        <v>100</v>
      </c>
      <c r="G26" s="17" t="n">
        <v>65</v>
      </c>
      <c r="H26" s="19" t="n">
        <f aca="false">IFERROR(E26/D26,0)</f>
        <v>0.01</v>
      </c>
      <c r="I26" s="20" t="n">
        <f aca="false">IFERROR(C26/E26,0)</f>
        <v>1.63636363636364</v>
      </c>
      <c r="J26" s="19" t="n">
        <f aca="false">IFERROR(F26/(E26*1000),0)</f>
        <v>0.00454545454545455</v>
      </c>
      <c r="K26" s="21" t="n">
        <f aca="false">IFERROR(G26/C26,0)</f>
        <v>1.80555555555556</v>
      </c>
    </row>
    <row r="27" customFormat="false" ht="15" hidden="false" customHeight="false" outlineLevel="0" collapsed="false">
      <c r="A27" s="6" t="s">
        <v>28</v>
      </c>
      <c r="B27" s="6" t="s">
        <v>54</v>
      </c>
      <c r="C27" s="17" t="n">
        <v>41</v>
      </c>
      <c r="D27" s="18" t="n">
        <v>2500</v>
      </c>
      <c r="E27" s="18" t="n">
        <v>25</v>
      </c>
      <c r="F27" s="18" t="n">
        <v>112</v>
      </c>
      <c r="G27" s="17" t="n">
        <v>74</v>
      </c>
      <c r="H27" s="19" t="n">
        <f aca="false">IFERROR(E27/D27,0)</f>
        <v>0.01</v>
      </c>
      <c r="I27" s="20" t="n">
        <f aca="false">IFERROR(C27/E27,0)</f>
        <v>1.64</v>
      </c>
      <c r="J27" s="19" t="n">
        <f aca="false">IFERROR(F27/(E27*1000),0)</f>
        <v>0.00448</v>
      </c>
      <c r="K27" s="21" t="n">
        <f aca="false">IFERROR(G27/C27,0)</f>
        <v>1.80487804878049</v>
      </c>
    </row>
    <row r="28" customFormat="false" ht="15" hidden="false" customHeight="false" outlineLevel="0" collapsed="false">
      <c r="A28" s="6" t="s">
        <v>29</v>
      </c>
      <c r="B28" s="6" t="s">
        <v>54</v>
      </c>
      <c r="C28" s="17" t="n">
        <v>39</v>
      </c>
      <c r="D28" s="18" t="n">
        <v>2400</v>
      </c>
      <c r="E28" s="18" t="n">
        <v>24</v>
      </c>
      <c r="F28" s="18" t="n">
        <v>108</v>
      </c>
      <c r="G28" s="17" t="n">
        <v>71</v>
      </c>
      <c r="H28" s="19" t="n">
        <f aca="false">IFERROR(E28/D28,0)</f>
        <v>0.01</v>
      </c>
      <c r="I28" s="20" t="n">
        <f aca="false">IFERROR(C28/E28,0)</f>
        <v>1.625</v>
      </c>
      <c r="J28" s="19" t="n">
        <f aca="false">IFERROR(F28/(E28*1000),0)</f>
        <v>0.0045</v>
      </c>
      <c r="K28" s="21" t="n">
        <f aca="false">IFERROR(G28/C28,0)</f>
        <v>1.82051282051282</v>
      </c>
    </row>
    <row r="31" customFormat="false" ht="15" hidden="false" customHeight="false" outlineLevel="0" collapsed="false">
      <c r="A31" s="14" t="s">
        <v>55</v>
      </c>
    </row>
    <row r="32" customFormat="false" ht="15" hidden="false" customHeight="false" outlineLevel="0" collapsed="false">
      <c r="A32" s="5" t="s">
        <v>41</v>
      </c>
      <c r="B32" s="5" t="s">
        <v>56</v>
      </c>
      <c r="C32" s="5" t="s">
        <v>57</v>
      </c>
      <c r="D32" s="5" t="s">
        <v>58</v>
      </c>
      <c r="E32" s="5" t="s">
        <v>59</v>
      </c>
      <c r="F32" s="5" t="s">
        <v>60</v>
      </c>
    </row>
    <row r="33" customFormat="false" ht="15" hidden="false" customHeight="false" outlineLevel="0" collapsed="false">
      <c r="A33" s="6" t="s">
        <v>51</v>
      </c>
      <c r="B33" s="22" t="n">
        <f aca="false">SUMIFS(C5:C28,B5:B28,A33)</f>
        <v>780</v>
      </c>
      <c r="C33" s="22" t="n">
        <f aca="false">SUMIFS(G5:G28,B5:B28,A33)</f>
        <v>2690</v>
      </c>
      <c r="D33" s="23" t="n">
        <f aca="false">IFERROR(C33/B33,0)</f>
        <v>3.44871794871795</v>
      </c>
      <c r="E33" s="24" t="n">
        <f aca="false">IFERROR(SUMIFS(E5:E28,B5:B28,A33)/SUMIFS(D5:D28,B5:B28,A33),0)</f>
        <v>0.0392559332905709</v>
      </c>
      <c r="F33" s="25" t="n">
        <f aca="false">IFERROR(B33/SUMIFS(E5:E28,B5:B28,A33),0)</f>
        <v>1.27450980392157</v>
      </c>
    </row>
    <row r="34" customFormat="false" ht="15" hidden="false" customHeight="false" outlineLevel="0" collapsed="false">
      <c r="A34" s="6" t="s">
        <v>52</v>
      </c>
      <c r="B34" s="22" t="n">
        <f aca="false">SUMIFS(C5:C28,B5:B28,A34)</f>
        <v>593</v>
      </c>
      <c r="C34" s="22" t="n">
        <f aca="false">SUMIFS(G5:G28,B5:B28,A34)</f>
        <v>1725</v>
      </c>
      <c r="D34" s="23" t="n">
        <f aca="false">IFERROR(C34/B34,0)</f>
        <v>2.90893760539629</v>
      </c>
      <c r="E34" s="24" t="n">
        <f aca="false">IFERROR(SUMIFS(E5:E28,B5:B28,A34)/SUMIFS(D5:D28,B5:B28,A34),0)</f>
        <v>0.02</v>
      </c>
      <c r="F34" s="25" t="n">
        <f aca="false">IFERROR(B34/SUMIFS(E5:E28,B5:B28,A34),0)</f>
        <v>1.25369978858351</v>
      </c>
    </row>
    <row r="35" customFormat="false" ht="15" hidden="false" customHeight="false" outlineLevel="0" collapsed="false">
      <c r="A35" s="6" t="s">
        <v>53</v>
      </c>
      <c r="B35" s="22" t="n">
        <f aca="false">SUMIFS(C5:C28,B5:B28,A35)</f>
        <v>348</v>
      </c>
      <c r="C35" s="22" t="n">
        <f aca="false">SUMIFS(G5:G28,B5:B28,A35)</f>
        <v>596</v>
      </c>
      <c r="D35" s="23" t="n">
        <f aca="false">IFERROR(C35/B35,0)</f>
        <v>1.71264367816092</v>
      </c>
      <c r="E35" s="24" t="n">
        <f aca="false">IFERROR(SUMIFS(E5:E28,B5:B28,A35)/SUMIFS(D5:D28,B5:B28,A35),0)</f>
        <v>0.00600574712643678</v>
      </c>
      <c r="F35" s="25" t="n">
        <f aca="false">IFERROR(B35/SUMIFS(E5:E28,B5:B28,A35),0)</f>
        <v>1.66507177033493</v>
      </c>
    </row>
    <row r="36" customFormat="false" ht="15" hidden="false" customHeight="false" outlineLevel="0" collapsed="false">
      <c r="A36" s="6" t="s">
        <v>54</v>
      </c>
      <c r="B36" s="22" t="n">
        <f aca="false">SUMIFS(C5:C28,B5:B28,A36)</f>
        <v>221</v>
      </c>
      <c r="C36" s="22" t="n">
        <f aca="false">SUMIFS(G5:G28,B5:B28,A36)</f>
        <v>397</v>
      </c>
      <c r="D36" s="23" t="n">
        <f aca="false">IFERROR(C36/B36,0)</f>
        <v>1.79638009049774</v>
      </c>
      <c r="E36" s="24" t="n">
        <f aca="false">IFERROR(SUMIFS(E5:E28,B5:B28,A36)/SUMIFS(D5:D28,B5:B28,A36),0)</f>
        <v>0.00996282527881041</v>
      </c>
      <c r="F36" s="25" t="n">
        <f aca="false">IFERROR(B36/SUMIFS(E5:E28,B5:B28,A36),0)</f>
        <v>1.64925373134328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6"/>
  </cols>
  <sheetData>
    <row r="1" customFormat="false" ht="21.75" hidden="false" customHeight="true" outlineLevel="0" collapsed="false">
      <c r="A1" s="1" t="s">
        <v>61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62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4" t="s">
        <v>63</v>
      </c>
    </row>
    <row r="5" customFormat="false" ht="15" hidden="false" customHeight="false" outlineLevel="0" collapsed="false">
      <c r="A5" s="6" t="s">
        <v>36</v>
      </c>
      <c r="B5" s="26" t="n">
        <f aca="false">'Budget vs Actual'!C29</f>
        <v>5159</v>
      </c>
    </row>
    <row r="6" customFormat="false" ht="15" hidden="false" customHeight="false" outlineLevel="0" collapsed="false">
      <c r="A6" s="6" t="s">
        <v>37</v>
      </c>
      <c r="B6" s="26" t="n">
        <f aca="false">'Budget vs Actual'!D29</f>
        <v>5314</v>
      </c>
    </row>
    <row r="7" customFormat="false" ht="15" hidden="false" customHeight="false" outlineLevel="0" collapsed="false">
      <c r="A7" s="6" t="s">
        <v>64</v>
      </c>
      <c r="B7" s="26" t="n">
        <f aca="false">'Budget vs Actual'!E29</f>
        <v>155</v>
      </c>
    </row>
    <row r="8" customFormat="false" ht="15" hidden="false" customHeight="false" outlineLevel="0" collapsed="false">
      <c r="A8" s="6" t="s">
        <v>21</v>
      </c>
      <c r="B8" s="27" t="n">
        <f aca="false">'Budget vs Actual'!F29</f>
        <v>0.0300445822833883</v>
      </c>
    </row>
    <row r="9" customFormat="false" ht="15" hidden="false" customHeight="false" outlineLevel="0" collapsed="false">
      <c r="A9" s="6" t="s">
        <v>65</v>
      </c>
      <c r="B9" s="26" t="n">
        <f aca="false">SUM('Ad Channel Performance'!B33:B36)</f>
        <v>1942</v>
      </c>
    </row>
    <row r="10" customFormat="false" ht="15" hidden="false" customHeight="false" outlineLevel="0" collapsed="false">
      <c r="A10" s="6" t="s">
        <v>66</v>
      </c>
      <c r="B10" s="26" t="n">
        <f aca="false">SUM('Ad Channel Performance'!C33:C36)</f>
        <v>5408</v>
      </c>
    </row>
    <row r="11" customFormat="false" ht="15" hidden="false" customHeight="false" outlineLevel="0" collapsed="false">
      <c r="A11" s="6" t="s">
        <v>58</v>
      </c>
      <c r="B11" s="28" t="n">
        <f aca="false">IFERROR(B10/B9,0)</f>
        <v>2.78475798146241</v>
      </c>
    </row>
    <row r="14" customFormat="false" ht="15" hidden="false" customHeight="false" outlineLevel="0" collapsed="false">
      <c r="A14" s="14" t="s">
        <v>67</v>
      </c>
    </row>
    <row r="15" customFormat="false" ht="15" hidden="false" customHeight="false" outlineLevel="0" collapsed="false">
      <c r="A15" s="5" t="s">
        <v>17</v>
      </c>
      <c r="B15" s="5" t="s">
        <v>51</v>
      </c>
      <c r="C15" s="5" t="s">
        <v>52</v>
      </c>
      <c r="D15" s="5" t="s">
        <v>53</v>
      </c>
      <c r="E15" s="5" t="s">
        <v>54</v>
      </c>
    </row>
    <row r="16" customFormat="false" ht="15" hidden="false" customHeight="false" outlineLevel="0" collapsed="false">
      <c r="A16" s="29" t="s">
        <v>24</v>
      </c>
      <c r="B16" s="30" t="n">
        <f aca="false">SUMIFS('Ad Channel Performance'!C5:C28,'Ad Channel Performance'!B5:B28,B$15,'Ad Channel Performance'!A5:A28,$A16)</f>
        <v>120</v>
      </c>
      <c r="C16" s="30" t="n">
        <f aca="false">SUMIFS('Ad Channel Performance'!C5:C28,'Ad Channel Performance'!B5:B28,C$15,'Ad Channel Performance'!A5:A28,$A16)</f>
        <v>90</v>
      </c>
      <c r="D16" s="30" t="n">
        <f aca="false">SUMIFS('Ad Channel Performance'!C5:C28,'Ad Channel Performance'!B5:B28,D$15,'Ad Channel Performance'!A5:A28,$A16)</f>
        <v>55</v>
      </c>
      <c r="E16" s="30" t="n">
        <f aca="false">SUMIFS('Ad Channel Performance'!C5:C28,'Ad Channel Performance'!B5:B28,E$15,'Ad Channel Performance'!A5:A28,$A16)</f>
        <v>35</v>
      </c>
    </row>
    <row r="17" customFormat="false" ht="15" hidden="false" customHeight="false" outlineLevel="0" collapsed="false">
      <c r="A17" s="29" t="s">
        <v>25</v>
      </c>
      <c r="B17" s="30" t="n">
        <f aca="false">SUMIFS('Ad Channel Performance'!C5:C28,'Ad Channel Performance'!B5:B28,B$15,'Ad Channel Performance'!A5:A28,$A17)</f>
        <v>110</v>
      </c>
      <c r="C17" s="30" t="n">
        <f aca="false">SUMIFS('Ad Channel Performance'!C5:C28,'Ad Channel Performance'!B5:B28,C$15,'Ad Channel Performance'!A5:A28,$A17)</f>
        <v>85</v>
      </c>
      <c r="D17" s="30" t="n">
        <f aca="false">SUMIFS('Ad Channel Performance'!C5:C28,'Ad Channel Performance'!B5:B28,D$15,'Ad Channel Performance'!A5:A28,$A17)</f>
        <v>52</v>
      </c>
      <c r="E17" s="30" t="n">
        <f aca="false">SUMIFS('Ad Channel Performance'!C5:C28,'Ad Channel Performance'!B5:B28,E$15,'Ad Channel Performance'!A5:A28,$A17)</f>
        <v>32</v>
      </c>
    </row>
    <row r="18" customFormat="false" ht="15" hidden="false" customHeight="false" outlineLevel="0" collapsed="false">
      <c r="A18" s="29" t="s">
        <v>26</v>
      </c>
      <c r="B18" s="30" t="n">
        <f aca="false">SUMIFS('Ad Channel Performance'!C5:C28,'Ad Channel Performance'!B5:B28,B$15,'Ad Channel Performance'!A5:A28,$A18)</f>
        <v>135</v>
      </c>
      <c r="C18" s="30" t="n">
        <f aca="false">SUMIFS('Ad Channel Performance'!C5:C28,'Ad Channel Performance'!B5:B28,C$15,'Ad Channel Performance'!A5:A28,$A18)</f>
        <v>100</v>
      </c>
      <c r="D18" s="30" t="n">
        <f aca="false">SUMIFS('Ad Channel Performance'!C5:C28,'Ad Channel Performance'!B5:B28,D$15,'Ad Channel Performance'!A5:A28,$A18)</f>
        <v>60</v>
      </c>
      <c r="E18" s="30" t="n">
        <f aca="false">SUMIFS('Ad Channel Performance'!C5:C28,'Ad Channel Performance'!B5:B28,E$15,'Ad Channel Performance'!A5:A28,$A18)</f>
        <v>38</v>
      </c>
    </row>
    <row r="19" customFormat="false" ht="15" hidden="false" customHeight="false" outlineLevel="0" collapsed="false">
      <c r="A19" s="29" t="s">
        <v>27</v>
      </c>
      <c r="B19" s="30" t="n">
        <f aca="false">SUMIFS('Ad Channel Performance'!C5:C28,'Ad Channel Performance'!B5:B28,B$15,'Ad Channel Performance'!A5:A28,$A19)</f>
        <v>130</v>
      </c>
      <c r="C19" s="30" t="n">
        <f aca="false">SUMIFS('Ad Channel Performance'!C5:C28,'Ad Channel Performance'!B5:B28,C$15,'Ad Channel Performance'!A5:A28,$A19)</f>
        <v>98</v>
      </c>
      <c r="D19" s="30" t="n">
        <f aca="false">SUMIFS('Ad Channel Performance'!C5:C28,'Ad Channel Performance'!B5:B28,D$15,'Ad Channel Performance'!A5:A28,$A19)</f>
        <v>58</v>
      </c>
      <c r="E19" s="30" t="n">
        <f aca="false">SUMIFS('Ad Channel Performance'!C5:C28,'Ad Channel Performance'!B5:B28,E$15,'Ad Channel Performance'!A5:A28,$A19)</f>
        <v>36</v>
      </c>
    </row>
    <row r="20" customFormat="false" ht="15" hidden="false" customHeight="false" outlineLevel="0" collapsed="false">
      <c r="A20" s="29" t="s">
        <v>28</v>
      </c>
      <c r="B20" s="30" t="n">
        <f aca="false">SUMIFS('Ad Channel Performance'!C5:C28,'Ad Channel Performance'!B5:B28,B$15,'Ad Channel Performance'!A5:A28,$A20)</f>
        <v>145</v>
      </c>
      <c r="C20" s="30" t="n">
        <f aca="false">SUMIFS('Ad Channel Performance'!C5:C28,'Ad Channel Performance'!B5:B28,C$15,'Ad Channel Performance'!A5:A28,$A20)</f>
        <v>112</v>
      </c>
      <c r="D20" s="30" t="n">
        <f aca="false">SUMIFS('Ad Channel Performance'!C5:C28,'Ad Channel Performance'!B5:B28,D$15,'Ad Channel Performance'!A5:A28,$A20)</f>
        <v>63</v>
      </c>
      <c r="E20" s="30" t="n">
        <f aca="false">SUMIFS('Ad Channel Performance'!C5:C28,'Ad Channel Performance'!B5:B28,E$15,'Ad Channel Performance'!A5:A28,$A20)</f>
        <v>41</v>
      </c>
    </row>
    <row r="21" customFormat="false" ht="15" hidden="false" customHeight="false" outlineLevel="0" collapsed="false">
      <c r="A21" s="29" t="s">
        <v>29</v>
      </c>
      <c r="B21" s="30" t="n">
        <f aca="false">SUMIFS('Ad Channel Performance'!C5:C28,'Ad Channel Performance'!B5:B28,B$15,'Ad Channel Performance'!A5:A28,$A21)</f>
        <v>140</v>
      </c>
      <c r="C21" s="30" t="n">
        <f aca="false">SUMIFS('Ad Channel Performance'!C5:C28,'Ad Channel Performance'!B5:B28,C$15,'Ad Channel Performance'!A5:A28,$A21)</f>
        <v>108</v>
      </c>
      <c r="D21" s="30" t="n">
        <f aca="false">SUMIFS('Ad Channel Performance'!C5:C28,'Ad Channel Performance'!B5:B28,D$15,'Ad Channel Performance'!A5:A28,$A21)</f>
        <v>60</v>
      </c>
      <c r="E21" s="30" t="n">
        <f aca="false">SUMIFS('Ad Channel Performance'!C5:C28,'Ad Channel Performance'!B5:B28,E$15,'Ad Channel Performance'!A5:A28,$A21)</f>
        <v>39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2026-08-25T17:37:27Z</dcterms:created>
  <dc:creator>openpyxl</dc:creator>
  <dc:description/>
  <dc:language>en-US</dc:language>
  <cp:lastModifiedBy/>
  <dcterms:modified xsi:type="dcterms:W3CDTF">2026-08-25T17:37:29Z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